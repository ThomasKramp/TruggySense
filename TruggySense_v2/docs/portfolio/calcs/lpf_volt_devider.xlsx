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<sst xmlns="http://schemas.openxmlformats.org/spreadsheetml/2006/main" count="23" uniqueCount="23">
  <si>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E12 Reeks</t>
  </si>
  <si>
    <t>Variables</t>
  </si>
  <si>
    <t xml:space="preserve">Resistor calcs</t>
  </si>
  <si>
    <t xml:space="preserve">Split resistor</t>
  </si>
  <si>
    <t xml:space="preserve">Output range</t>
  </si>
  <si>
    <t xml:space="preserve">V_OUT (V)</t>
  </si>
  <si>
    <t xml:space="preserve">V_IN (V)</t>
  </si>
  <si>
    <t xml:space="preserve">R_X.2 (kΩ)</t>
  </si>
  <si>
    <t>R_X.2.1</t>
  </si>
  <si>
    <t>R_X.2.2</t>
  </si>
  <si>
    <t>Fault</t>
  </si>
  <si>
    <t xml:space="preserve">V_in (V)</t>
  </si>
  <si>
    <t xml:space="preserve">V_out (V)</t>
  </si>
  <si>
    <t xml:space="preserve">R_X.1 (kΩ)</t>
  </si>
  <si>
    <t xml:space="preserve">Capacitor calcs</t>
  </si>
  <si>
    <t xml:space="preserve">Split capacitor</t>
  </si>
  <si>
    <t>Output</t>
  </si>
  <si>
    <t xml:space="preserve">C_X (µF)</t>
  </si>
  <si>
    <t>f_real</t>
  </si>
  <si>
    <t>C_X.1.1</t>
  </si>
  <si>
    <t>C_X.1.2</t>
  </si>
  <si>
    <t xml:space="preserve">C_X.1 (µF)</t>
  </si>
  <si>
    <t xml:space="preserve">f_c (Hz)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</si>
</sst>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2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8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0" borderId="1" numFmtId="0" xfId="0" applyFont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/>
    </xf>
    <xf fontId="0" fillId="0" borderId="5" numFmtId="0" xfId="0" applyBorder="1" applyAlignment="1">
      <alignment horizontal="center"/>
    </xf>
    <xf fontId="0" fillId="0" borderId="6" numFmtId="0" xfId="0" applyBorder="1" applyAlignment="1">
      <alignment horizontal="center"/>
    </xf>
    <xf fontId="0" fillId="0" borderId="7" numFmtId="0" xfId="0" applyBorder="1" applyAlignment="1">
      <alignment horizontal="center"/>
    </xf>
    <xf fontId="0" fillId="0" borderId="0" numFmtId="0" xfId="0"/>
    <xf fontId="0" fillId="0" borderId="8" numFmtId="0" xfId="0" applyBorder="1" applyAlignment="1">
      <alignment horizontal="center"/>
    </xf>
    <xf fontId="0" fillId="0" borderId="9" numFmtId="0" xfId="0" applyBorder="1" applyAlignment="1">
      <alignment horizontal="center"/>
    </xf>
    <xf fontId="0" fillId="0" borderId="10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12" numFmtId="0" xfId="0" applyBorder="1" applyAlignment="1">
      <alignment horizontal="center"/>
    </xf>
    <xf fontId="0" fillId="0" borderId="13" numFmtId="0" xfId="0" applyBorder="1" applyAlignment="1">
      <alignment horizontal="center"/>
    </xf>
    <xf fontId="0" fillId="0" borderId="0" numFmtId="0" xfId="0" applyAlignment="1">
      <alignment horizontal="center"/>
    </xf>
    <xf fontId="0" fillId="0" borderId="11" numFmtId="0" xfId="0" applyBorder="1"/>
    <xf fontId="0" fillId="0" borderId="12" numFmtId="0" xfId="0" applyBorder="1"/>
    <xf fontId="0" fillId="0" borderId="13" numFmtId="0" xfId="0" applyBorder="1">
      <protection hidden="0" locked="1"/>
    </xf>
    <xf fontId="0" fillId="0" borderId="13" numFmtId="0" xfId="0" applyBorder="1"/>
    <xf fontId="0" fillId="0" borderId="14" numFmtId="0" xfId="0" applyBorder="1"/>
    <xf fontId="0" fillId="0" borderId="15" numFmtId="0" xfId="0" applyBorder="1">
      <protection hidden="0" locked="1"/>
    </xf>
    <xf fontId="0" fillId="0" borderId="16" numFmtId="0" xfId="0" applyBorder="1"/>
    <xf fontId="0" fillId="0" borderId="15" numFmtId="0" xfId="0" applyBorder="1"/>
    <xf fontId="0" fillId="0" borderId="0" numFmtId="0" xfId="0" applyAlignment="1">
      <alignment horizontal="center"/>
      <protection hidden="0" locked="1"/>
    </xf>
    <xf fontId="0" fillId="0" borderId="0" numFmtId="0" xfId="0">
      <protection hidden="0" locked="1"/>
    </xf>
    <xf fontId="0" fillId="0" borderId="12" numFmtId="0" xfId="0" applyBorder="1">
      <protection hidden="0" locked="1"/>
    </xf>
    <xf fontId="0" fillId="0" borderId="17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2" max="12" width="9.140625"/>
  </cols>
  <sheetData>
    <row r="3" ht="27" customHeight="1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4.25">
      <c r="C4" s="4">
        <v>10</v>
      </c>
      <c r="D4" s="5">
        <v>12</v>
      </c>
      <c r="E4" s="5">
        <v>15</v>
      </c>
      <c r="F4" s="5">
        <v>18</v>
      </c>
      <c r="G4" s="5">
        <v>22</v>
      </c>
      <c r="H4" s="5">
        <v>27</v>
      </c>
      <c r="I4" s="5">
        <v>33</v>
      </c>
      <c r="J4" s="5">
        <v>39</v>
      </c>
      <c r="K4" s="5">
        <v>47</v>
      </c>
      <c r="L4" s="5">
        <v>56</v>
      </c>
      <c r="M4" s="5">
        <v>68</v>
      </c>
      <c r="N4" s="6">
        <v>82</v>
      </c>
    </row>
    <row r="6" ht="14.25">
      <c r="C6" s="7" t="s">
        <v>1</v>
      </c>
      <c r="D6" s="8"/>
      <c r="E6" s="9" t="s">
        <v>2</v>
      </c>
      <c r="F6" s="10"/>
      <c r="H6" s="9" t="s">
        <v>3</v>
      </c>
      <c r="I6" s="11"/>
      <c r="J6" s="11"/>
      <c r="K6" s="10"/>
      <c r="M6" s="9" t="s">
        <v>4</v>
      </c>
      <c r="N6" s="10"/>
    </row>
    <row r="7" ht="14.25">
      <c r="C7" s="12" t="s">
        <v>5</v>
      </c>
      <c r="D7" s="8"/>
      <c r="E7" s="13" t="s">
        <v>6</v>
      </c>
      <c r="F7" s="14" t="s">
        <v>7</v>
      </c>
      <c r="H7" s="13" t="s">
        <v>8</v>
      </c>
      <c r="I7" s="15" t="s">
        <v>9</v>
      </c>
      <c r="J7" s="15" t="s">
        <v>7</v>
      </c>
      <c r="K7" s="14" t="s">
        <v>10</v>
      </c>
      <c r="M7" s="13" t="s">
        <v>11</v>
      </c>
      <c r="N7" s="14" t="s">
        <v>12</v>
      </c>
    </row>
    <row r="8" ht="14.25">
      <c r="C8" s="16">
        <v>3.2999999999999998</v>
      </c>
      <c r="D8" s="8"/>
      <c r="E8" s="17">
        <v>3.5</v>
      </c>
      <c r="F8" s="18">
        <f>ROUND((C8*C11)/(E8-C8),2)</f>
        <v>165</v>
      </c>
      <c r="H8" s="17">
        <v>150</v>
      </c>
      <c r="I8">
        <v>15</v>
      </c>
      <c r="J8">
        <f t="shared" ref="J8:J9" si="0">H8+I8</f>
        <v>165</v>
      </c>
      <c r="K8" s="19">
        <f t="shared" ref="K8:K9" si="1">F8-J8</f>
        <v>0</v>
      </c>
      <c r="M8" s="17">
        <v>3.1000000000000001</v>
      </c>
      <c r="N8" s="19">
        <f>ROUND(M8*J8/(C11+J8),2)</f>
        <v>2.9199999999999999</v>
      </c>
    </row>
    <row r="9" ht="14.25">
      <c r="C9" s="16"/>
      <c r="D9" s="8"/>
      <c r="E9" s="17">
        <v>4.2000000000000002</v>
      </c>
      <c r="F9" s="19">
        <f>ROUND((C8*C11)/(E9-C8),2)</f>
        <v>36.670000000000002</v>
      </c>
      <c r="H9" s="17">
        <v>33</v>
      </c>
      <c r="I9">
        <v>3.8999999999999999</v>
      </c>
      <c r="J9">
        <f t="shared" si="0"/>
        <v>36.899999999999999</v>
      </c>
      <c r="K9" s="19">
        <f t="shared" si="1"/>
        <v>-0.22999999999999687</v>
      </c>
      <c r="M9" s="17">
        <v>3.2000000000000002</v>
      </c>
      <c r="N9" s="19">
        <f>ROUND(M9*J9/(C11+J9),2)</f>
        <v>2.52</v>
      </c>
    </row>
    <row r="10" ht="14.25">
      <c r="C10" s="12" t="s">
        <v>13</v>
      </c>
      <c r="D10" s="8"/>
      <c r="E10" s="17">
        <v>5.2000000000000002</v>
      </c>
      <c r="F10" s="18">
        <f>ROUND((C8*C11)/(E10-C8),2)</f>
        <v>17.370000000000001</v>
      </c>
      <c r="H10" s="17">
        <v>12</v>
      </c>
      <c r="I10">
        <v>5.5999999999999996</v>
      </c>
      <c r="J10">
        <f t="shared" ref="J10:J13" si="2">H10+I10</f>
        <v>17.600000000000001</v>
      </c>
      <c r="K10" s="19">
        <f t="shared" ref="K10:K13" si="3">F10-J10</f>
        <v>-0.23000000000000043</v>
      </c>
      <c r="M10" s="17">
        <v>4.7999999999999998</v>
      </c>
      <c r="N10" s="19">
        <f>ROUND(M10*J10/(C11+J10),2)</f>
        <v>3.0600000000000001</v>
      </c>
    </row>
    <row r="11" ht="14.25">
      <c r="C11" s="16">
        <v>10</v>
      </c>
      <c r="D11" s="8"/>
      <c r="E11" s="17">
        <v>8.4000000000000004</v>
      </c>
      <c r="F11" s="18">
        <f>ROUND((C8*C11)/(E11-C8),2)</f>
        <v>6.4699999999999998</v>
      </c>
      <c r="H11" s="17">
        <v>5.5999999999999996</v>
      </c>
      <c r="I11">
        <v>0.81999999999999995</v>
      </c>
      <c r="J11">
        <f t="shared" si="2"/>
        <v>6.4199999999999999</v>
      </c>
      <c r="K11" s="19">
        <f t="shared" si="3"/>
        <v>0.049999999999999822</v>
      </c>
      <c r="M11" s="17">
        <v>6.4000000000000004</v>
      </c>
      <c r="N11" s="19">
        <f>ROUND(M11*J11/(C11+J11),2)</f>
        <v>2.5</v>
      </c>
    </row>
    <row r="12" ht="14.25">
      <c r="C12" s="16"/>
      <c r="D12" s="8"/>
      <c r="E12" s="17">
        <v>12.6</v>
      </c>
      <c r="F12" s="18">
        <f>ROUND((C8*C11)/(E12-C8),2)</f>
        <v>3.5499999999999998</v>
      </c>
      <c r="H12" s="17">
        <v>3.2999999999999998</v>
      </c>
      <c r="I12">
        <v>0.22</v>
      </c>
      <c r="J12">
        <f t="shared" si="2"/>
        <v>3.52</v>
      </c>
      <c r="K12" s="19">
        <f t="shared" si="3"/>
        <v>0.029999999999999805</v>
      </c>
      <c r="M12" s="17">
        <v>9.5999999999999996</v>
      </c>
      <c r="N12" s="19">
        <f>ROUND(M12*J12/(C11+J12),2)</f>
        <v>2.5</v>
      </c>
    </row>
    <row r="13" ht="14.25">
      <c r="C13" s="16"/>
      <c r="D13" s="8"/>
      <c r="E13" s="20">
        <v>16.800000000000001</v>
      </c>
      <c r="F13" s="21">
        <f>ROUND((C8*C11)/(E13-C8),2)</f>
        <v>2.4399999999999999</v>
      </c>
      <c r="H13" s="20">
        <v>2.2000000000000002</v>
      </c>
      <c r="I13" s="22">
        <v>0.22</v>
      </c>
      <c r="J13" s="22">
        <f t="shared" si="2"/>
        <v>2.4200000000000004</v>
      </c>
      <c r="K13" s="23">
        <f t="shared" si="3"/>
        <v>0.019999999999999574</v>
      </c>
      <c r="M13" s="20">
        <v>12.800000000000001</v>
      </c>
      <c r="N13" s="23">
        <f>ROUND(M13*J13/(C11+J13),2)</f>
        <v>2.4900000000000002</v>
      </c>
    </row>
    <row r="14" ht="14.25">
      <c r="C14" s="16"/>
    </row>
    <row r="15" ht="14.25">
      <c r="C15" s="16"/>
      <c r="E15" s="9" t="s">
        <v>14</v>
      </c>
      <c r="F15" s="11"/>
      <c r="G15" s="10"/>
      <c r="H15" s="8"/>
      <c r="I15" s="9" t="s">
        <v>15</v>
      </c>
      <c r="J15" s="11"/>
      <c r="K15" s="11"/>
      <c r="L15" s="10"/>
      <c r="N15" s="7" t="s">
        <v>16</v>
      </c>
    </row>
    <row r="16" ht="14.25">
      <c r="C16" s="12" t="s">
        <v>17</v>
      </c>
      <c r="E16" s="13" t="s">
        <v>6</v>
      </c>
      <c r="F16" s="15" t="s">
        <v>18</v>
      </c>
      <c r="G16" s="14" t="s">
        <v>17</v>
      </c>
      <c r="I16" s="13" t="s">
        <v>19</v>
      </c>
      <c r="J16" s="15" t="s">
        <v>20</v>
      </c>
      <c r="K16" s="24" t="s">
        <v>21</v>
      </c>
      <c r="L16" s="14" t="s">
        <v>10</v>
      </c>
      <c r="N16" s="12" t="s">
        <v>22</v>
      </c>
    </row>
    <row r="17" ht="14.25">
      <c r="C17" s="16">
        <v>1</v>
      </c>
      <c r="E17" s="17">
        <v>3.6000000000000001</v>
      </c>
      <c r="F17">
        <f>ROUND((C11+F8)/(2*PI()*C11*F8*(C17/1000)),2)</f>
        <v>16.879999999999999</v>
      </c>
      <c r="G17" s="19">
        <f>ROUND((C11+J8)/(2*PI()*C11*J8*(C20/1000)),2)</f>
        <v>1.1299999999999999</v>
      </c>
      <c r="I17" s="17">
        <v>1</v>
      </c>
      <c r="J17" s="25">
        <v>0.10000000000000001</v>
      </c>
      <c r="K17" s="25">
        <f t="shared" ref="K17:K22" si="4">I17+J17</f>
        <v>1.1000000000000001</v>
      </c>
      <c r="L17" s="19">
        <f>G17-K17</f>
        <v>0.029999999999999805</v>
      </c>
      <c r="N17" s="16">
        <f>ROUND((C11+J8)/(2*PI()*C11*J8*(K17/1000)),2)</f>
        <v>15.35</v>
      </c>
    </row>
    <row r="18" ht="14.25">
      <c r="C18" s="16"/>
      <c r="E18" s="26">
        <v>4.2000000000000002</v>
      </c>
      <c r="F18">
        <f>ROUND((C11+F9)/(2*PI()*C11*F9*(C17/1000)),2)</f>
        <v>20.260000000000002</v>
      </c>
      <c r="G18" s="19">
        <f>ROUND((C11+J9)/(2*PI()*C11*J9*(C20/1000)),2)</f>
        <v>1.3500000000000001</v>
      </c>
      <c r="I18" s="17">
        <v>1</v>
      </c>
      <c r="J18" s="25">
        <v>0.33000000000000002</v>
      </c>
      <c r="K18" s="25">
        <f t="shared" si="4"/>
        <v>1.3300000000000001</v>
      </c>
      <c r="L18" s="19">
        <f>ROUND(G18-K18,2)</f>
        <v>0.02</v>
      </c>
      <c r="N18" s="16">
        <f>ROUND((C11+J9)/(2*PI()*C11*J9*(K18/1000)),2)</f>
        <v>15.210000000000001</v>
      </c>
    </row>
    <row r="19" ht="14.25">
      <c r="C19" s="12" t="s">
        <v>22</v>
      </c>
      <c r="E19" s="26">
        <v>5.2000000000000002</v>
      </c>
      <c r="F19">
        <f>ROUND((C11+F10)/(2*PI()*C11*F10*(C17/1000)),2)</f>
        <v>25.079999999999998</v>
      </c>
      <c r="G19" s="19">
        <f>ROUND((C11+J10)/(2*PI()*C11*J10*(C20/1000)),2)</f>
        <v>1.6599999999999999</v>
      </c>
      <c r="I19" s="17">
        <v>1</v>
      </c>
      <c r="J19" s="25">
        <v>0.68000000000000005</v>
      </c>
      <c r="K19" s="25">
        <f t="shared" si="4"/>
        <v>1.6800000000000002</v>
      </c>
      <c r="L19" s="19">
        <f t="shared" ref="L19:L22" si="5">G19-K19</f>
        <v>-0.02000000000000024</v>
      </c>
      <c r="N19" s="16">
        <f>ROUND((C11+J10)/(2*PI()*C11*J10*(K19/1000)),2)</f>
        <v>14.859999999999999</v>
      </c>
    </row>
    <row r="20" ht="14.25">
      <c r="C20" s="16">
        <v>15</v>
      </c>
      <c r="E20" s="26">
        <v>8.4000000000000004</v>
      </c>
      <c r="F20">
        <f>ROUND((C11+F11)/(2*PI()*C11*F11*(C17/1000)),2)</f>
        <v>40.509999999999998</v>
      </c>
      <c r="G20" s="19">
        <f>ROUND((C11+J11)/(2*PI()*C11*J11*(C20/1000)),2)</f>
        <v>2.71</v>
      </c>
      <c r="I20" s="17">
        <v>2.2000000000000002</v>
      </c>
      <c r="J20" s="25">
        <v>0.46999999999999997</v>
      </c>
      <c r="K20" s="25">
        <f t="shared" si="4"/>
        <v>2.6699999999999999</v>
      </c>
      <c r="L20" s="19">
        <f t="shared" si="5"/>
        <v>0.040000000000000036</v>
      </c>
      <c r="N20" s="16">
        <f>ROUND((C11+J11)/(2*PI()*C11*J11*(K20/1000)),2)</f>
        <v>15.25</v>
      </c>
    </row>
    <row r="21" ht="14.25">
      <c r="C21" s="16"/>
      <c r="E21" s="26">
        <v>12.6</v>
      </c>
      <c r="F21">
        <f>ROUND((C11+F12)/(2*PI()*C11*F12*(C17/1000)),2)</f>
        <v>60.75</v>
      </c>
      <c r="G21" s="19">
        <f>ROUND((C11+J12)/(2*PI()*C11*J12*(C20/1000)),2)</f>
        <v>4.0800000000000001</v>
      </c>
      <c r="I21" s="17">
        <v>3.2999999999999998</v>
      </c>
      <c r="J21" s="25">
        <v>0.81999999999999995</v>
      </c>
      <c r="K21" s="25">
        <f t="shared" si="4"/>
        <v>4.1200000000000001</v>
      </c>
      <c r="L21" s="19">
        <f t="shared" si="5"/>
        <v>-0.040000000000000036</v>
      </c>
      <c r="N21" s="16">
        <f>ROUND((C11+J12)/(2*PI()*C11*J12*(K21/1000)),2)</f>
        <v>14.84</v>
      </c>
    </row>
    <row r="22" ht="14.25">
      <c r="C22" s="27"/>
      <c r="E22" s="20">
        <v>16.800000000000001</v>
      </c>
      <c r="F22" s="22">
        <f>ROUND((C11+F13)/(2*PI()*C11*F13*(C17/1000)),2)</f>
        <v>81.140000000000001</v>
      </c>
      <c r="G22" s="23">
        <f>ROUND((C11+J13)/(2*PI()*C11*J13*(C20/1000)),2)</f>
        <v>5.4500000000000002</v>
      </c>
      <c r="I22" s="20">
        <v>4.7000000000000002</v>
      </c>
      <c r="J22" s="22">
        <v>0.68000000000000005</v>
      </c>
      <c r="K22" s="22">
        <f t="shared" si="4"/>
        <v>5.3799999999999999</v>
      </c>
      <c r="L22" s="23">
        <f t="shared" si="5"/>
        <v>0.070000000000000284</v>
      </c>
      <c r="N22" s="27">
        <f>ROUND((C11+J13)/(2*PI()*C11*J13*(K22/1000)),2)</f>
        <v>15.18</v>
      </c>
    </row>
  </sheetData>
  <mergeCells count="6">
    <mergeCell ref="C3:N3"/>
    <mergeCell ref="E6:F6"/>
    <mergeCell ref="H6:K6"/>
    <mergeCell ref="M6:N6"/>
    <mergeCell ref="E15:G15"/>
    <mergeCell ref="I15:L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2026-02-26T15:08:48Z</dcterms:modified>
</cp:coreProperties>
</file>